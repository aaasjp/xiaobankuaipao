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195" windowHeight="7935" activeTab="1"/>
  </bookViews>
  <sheets>
    <sheet name="Examples 1-2" sheetId="1" r:id="rId1"/>
    <sheet name="Examples 3-4-5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J24" i="2"/>
  <c r="I24"/>
  <c r="J23"/>
  <c r="I23"/>
  <c r="J22"/>
  <c r="I22"/>
  <c r="K13"/>
  <c r="J13"/>
  <c r="I13"/>
  <c r="K12"/>
  <c r="J12"/>
  <c r="I12"/>
  <c r="J4"/>
  <c r="I4"/>
  <c r="J3"/>
  <c r="I3"/>
</calcChain>
</file>

<file path=xl/sharedStrings.xml><?xml version="1.0" encoding="utf-8"?>
<sst xmlns="http://schemas.openxmlformats.org/spreadsheetml/2006/main" count="178" uniqueCount="69">
  <si>
    <t>Investor X</t>
  </si>
  <si>
    <t>Investor Y</t>
  </si>
  <si>
    <t>Stock A</t>
  </si>
  <si>
    <t>Stock B</t>
  </si>
  <si>
    <t>Holding Costs</t>
  </si>
  <si>
    <t>Holding Period</t>
  </si>
  <si>
    <t>Bid-Ask Spread</t>
  </si>
  <si>
    <t>1 year</t>
  </si>
  <si>
    <t>5 years</t>
  </si>
  <si>
    <t>2% per year</t>
  </si>
  <si>
    <t>0.25% per year</t>
  </si>
  <si>
    <t>2%/1yr=2%</t>
  </si>
  <si>
    <t>0.25%/1yr=0.25%</t>
  </si>
  <si>
    <t>0.25%/5yr=0.05%</t>
  </si>
  <si>
    <t>Expected Return</t>
  </si>
  <si>
    <t>12%+2%-1bp=13.99% per year</t>
  </si>
  <si>
    <t>12%+0.25%=12.25% per year</t>
  </si>
  <si>
    <t>Rents</t>
  </si>
  <si>
    <t>13.99%-12%-0.4%=1.59%</t>
  </si>
  <si>
    <t>12.25%-12%-0.05%=0.2%</t>
  </si>
  <si>
    <t>2%/5yr=0.4%</t>
  </si>
  <si>
    <t>Investor Z</t>
  </si>
  <si>
    <t>10 years</t>
  </si>
  <si>
    <t>Stock C</t>
  </si>
  <si>
    <t>3% per year</t>
  </si>
  <si>
    <t>1% per year</t>
  </si>
  <si>
    <t>0.5% per year</t>
  </si>
  <si>
    <t>3%/1yr=3%</t>
  </si>
  <si>
    <t>1%/1yr=1%</t>
  </si>
  <si>
    <t>0.5%/1yr=0.5%</t>
  </si>
  <si>
    <t>3%/5yr=0.6%</t>
  </si>
  <si>
    <t>1%/5yr=0.2%</t>
  </si>
  <si>
    <t>0.5%/5yr=0.1%</t>
  </si>
  <si>
    <t>3%/10yr=0.3%</t>
  </si>
  <si>
    <t>1%/10yr=0.1%</t>
  </si>
  <si>
    <t>0.5%/10yr=0.05%</t>
  </si>
  <si>
    <t>12%+0.5%=12.5% per year</t>
  </si>
  <si>
    <t>12%+0.4%+0.2%+1bp=12.61% per year</t>
  </si>
  <si>
    <t>12.5%-12%-0.5%=0%</t>
  </si>
  <si>
    <t>12.61%-12%-1%=-0.39%</t>
  </si>
  <si>
    <t>13%-12%-3%=-2%</t>
  </si>
  <si>
    <t>13%-12%-0.6%=0.4%</t>
  </si>
  <si>
    <t>12.5%-12%-0.1%=0.4%</t>
  </si>
  <si>
    <t>12.61%-12%-0.2%=0.41%</t>
  </si>
  <si>
    <t>13%-12%-0.3%=0.7%</t>
  </si>
  <si>
    <t>12.61%-12%-0.1%=0.51%</t>
  </si>
  <si>
    <t>12.5%-12%-0.05%=0.45%</t>
  </si>
  <si>
    <t>13.99%-12%-2%=-0.01%</t>
  </si>
  <si>
    <t>12.25%-12%-0.25%=0%</t>
  </si>
  <si>
    <t>12%+0.6%+0.41%-1bp=13% per year</t>
  </si>
  <si>
    <t>Trade Size</t>
  </si>
  <si>
    <t>10 mil</t>
  </si>
  <si>
    <t>2 mil</t>
  </si>
  <si>
    <t>Amihud</t>
  </si>
  <si>
    <t>0.5%</t>
  </si>
  <si>
    <t>0.2%</t>
  </si>
  <si>
    <t>12%+2%=14% per year</t>
  </si>
  <si>
    <t>12%+5%-1bp=16.99% per year</t>
  </si>
  <si>
    <t>16.99%-12%-5%=-0.01%</t>
  </si>
  <si>
    <t>16.99%-12%-1%=3.99%</t>
  </si>
  <si>
    <t>14%-12%-2%=0%</t>
  </si>
  <si>
    <t>14%-12%-0.4%=1.6%</t>
  </si>
  <si>
    <t>0.1%</t>
  </si>
  <si>
    <t>Equilibrium #1</t>
  </si>
  <si>
    <t>12%+1%=13% per year</t>
  </si>
  <si>
    <t>Equilibrium #2</t>
  </si>
  <si>
    <t>1 mil</t>
  </si>
  <si>
    <t>12%+2%-1bp=14% per year</t>
  </si>
  <si>
    <t>12%+1%+(14%-12%-0.4%)-1bp=14.59% per year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</si>
</sst>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K25"/>
  <sheetViews>
    <sheetView topLeftCell="A7" workbookViewId="0">
      <selection activeCell="C10" sqref="C10:G13"/>
    </sheetView>
  </sheetViews>
  <sheetFormatPr defaultRowHeight="15"/>
  <cols>
    <col min="2" max="2" width="9.85546875" bestFit="1" customWidth="1"/>
    <col min="3" max="3" width="14.28515625" bestFit="1" customWidth="1"/>
    <col min="4" max="4" width="14.28515625" customWidth="1"/>
    <col min="5" max="5" width="13.42578125" bestFit="1" customWidth="1"/>
    <col min="6" max="6" width="16" bestFit="1" customWidth="1"/>
    <col min="7" max="7" width="22.85546875" bestFit="1" customWidth="1"/>
    <col min="8" max="8" width="22.85546875" customWidth="1"/>
    <col min="9" max="9" width="22.85546875" bestFit="1" customWidth="1"/>
    <col min="10" max="10" width="16" bestFit="1" customWidth="1"/>
  </cols>
  <sheetData>
    <row r="2" spans="2:11" s="4" customFormat="1">
      <c r="C2" s="5" t="s">
        <v>5</v>
      </c>
      <c r="F2" s="4" t="s">
        <v>6</v>
      </c>
      <c r="G2" s="6"/>
      <c r="H2" s="4" t="s">
        <v>4</v>
      </c>
      <c r="I2" s="5" t="s">
        <v>2</v>
      </c>
      <c r="J2" s="5" t="s">
        <v>3</v>
      </c>
      <c r="K2" s="6"/>
    </row>
    <row r="3" spans="2:11">
      <c r="B3" s="4" t="s">
        <v>0</v>
      </c>
      <c r="C3" s="1" t="s">
        <v>7</v>
      </c>
      <c r="E3" s="4" t="s">
        <v>2</v>
      </c>
      <c r="F3" t="s">
        <v>9</v>
      </c>
      <c r="G3" s="3"/>
      <c r="H3" s="4" t="s">
        <v>0</v>
      </c>
      <c r="I3" s="1" t="s">
        <v>11</v>
      </c>
      <c r="J3" s="1" t="s">
        <v>12</v>
      </c>
      <c r="K3" s="3"/>
    </row>
    <row r="4" spans="2:11">
      <c r="B4" s="4" t="s">
        <v>1</v>
      </c>
      <c r="C4" s="1" t="s">
        <v>8</v>
      </c>
      <c r="E4" s="4" t="s">
        <v>3</v>
      </c>
      <c r="F4" t="s">
        <v>10</v>
      </c>
      <c r="G4" s="3"/>
      <c r="H4" s="4" t="s">
        <v>1</v>
      </c>
      <c r="I4" s="1" t="s">
        <v>20</v>
      </c>
      <c r="J4" s="1" t="s">
        <v>13</v>
      </c>
      <c r="K4" s="3"/>
    </row>
    <row r="5" spans="2:11">
      <c r="B5" s="3"/>
      <c r="C5" s="3"/>
      <c r="D5" s="3"/>
      <c r="E5" s="3"/>
      <c r="F5" s="3"/>
      <c r="G5" s="3"/>
      <c r="H5" s="3"/>
      <c r="I5" s="3"/>
      <c r="J5" s="3"/>
    </row>
    <row r="6" spans="2:11" s="4" customFormat="1">
      <c r="C6" s="4" t="s">
        <v>14</v>
      </c>
      <c r="D6" s="6"/>
      <c r="F6" s="4" t="s">
        <v>17</v>
      </c>
      <c r="G6" s="5" t="s">
        <v>2</v>
      </c>
      <c r="H6" s="5" t="s">
        <v>3</v>
      </c>
      <c r="I6" s="6"/>
    </row>
    <row r="7" spans="2:11">
      <c r="B7" s="4" t="s">
        <v>2</v>
      </c>
      <c r="C7" t="s">
        <v>15</v>
      </c>
      <c r="D7" s="3"/>
      <c r="F7" s="4" t="s">
        <v>0</v>
      </c>
      <c r="G7" s="1" t="s">
        <v>47</v>
      </c>
      <c r="H7" s="8" t="s">
        <v>48</v>
      </c>
      <c r="I7" s="3"/>
    </row>
    <row r="8" spans="2:11">
      <c r="B8" s="4" t="s">
        <v>3</v>
      </c>
      <c r="C8" t="s">
        <v>16</v>
      </c>
      <c r="D8" s="3"/>
      <c r="F8" s="4" t="s">
        <v>1</v>
      </c>
      <c r="G8" s="8" t="s">
        <v>18</v>
      </c>
      <c r="H8" s="1" t="s">
        <v>19</v>
      </c>
      <c r="I8" s="3"/>
    </row>
    <row r="9" spans="2:11">
      <c r="B9" s="3"/>
      <c r="C9" s="3"/>
      <c r="D9" s="3"/>
      <c r="E9" s="3"/>
      <c r="F9" s="3"/>
      <c r="G9" s="3"/>
      <c r="H9" s="3"/>
    </row>
    <row r="10" spans="2:11" s="4" customFormat="1">
      <c r="D10" s="5" t="s">
        <v>5</v>
      </c>
      <c r="G10" s="5" t="s">
        <v>6</v>
      </c>
      <c r="H10" s="6"/>
    </row>
    <row r="11" spans="2:11">
      <c r="C11" s="4" t="s">
        <v>0</v>
      </c>
      <c r="D11" s="1" t="s">
        <v>7</v>
      </c>
      <c r="F11" s="4" t="s">
        <v>2</v>
      </c>
      <c r="G11" s="1" t="s">
        <v>24</v>
      </c>
      <c r="H11" s="3"/>
    </row>
    <row r="12" spans="2:11">
      <c r="C12" s="4" t="s">
        <v>1</v>
      </c>
      <c r="D12" s="1" t="s">
        <v>8</v>
      </c>
      <c r="F12" s="4" t="s">
        <v>3</v>
      </c>
      <c r="G12" s="1" t="s">
        <v>25</v>
      </c>
      <c r="H12" s="3"/>
    </row>
    <row r="13" spans="2:11">
      <c r="C13" s="4" t="s">
        <v>21</v>
      </c>
      <c r="D13" s="1" t="s">
        <v>22</v>
      </c>
      <c r="F13" s="4" t="s">
        <v>23</v>
      </c>
      <c r="G13" s="1" t="s">
        <v>26</v>
      </c>
      <c r="H13" s="3"/>
    </row>
    <row r="14" spans="2:11">
      <c r="C14" s="3"/>
      <c r="D14" s="3"/>
      <c r="E14" s="3"/>
      <c r="F14" s="3"/>
      <c r="G14" s="3"/>
    </row>
    <row r="15" spans="2:11" s="4" customFormat="1">
      <c r="D15" s="5" t="s">
        <v>2</v>
      </c>
      <c r="E15" s="5" t="s">
        <v>3</v>
      </c>
      <c r="F15" s="5" t="s">
        <v>23</v>
      </c>
    </row>
    <row r="16" spans="2:11">
      <c r="C16" s="4" t="s">
        <v>0</v>
      </c>
      <c r="D16" s="1" t="s">
        <v>27</v>
      </c>
      <c r="E16" s="1" t="s">
        <v>28</v>
      </c>
      <c r="F16" s="1" t="s">
        <v>29</v>
      </c>
    </row>
    <row r="17" spans="2:10">
      <c r="C17" s="4" t="s">
        <v>1</v>
      </c>
      <c r="D17" s="1" t="s">
        <v>30</v>
      </c>
      <c r="E17" s="1" t="s">
        <v>31</v>
      </c>
      <c r="F17" s="1" t="s">
        <v>32</v>
      </c>
    </row>
    <row r="18" spans="2:10">
      <c r="C18" s="4" t="s">
        <v>21</v>
      </c>
      <c r="D18" s="1" t="s">
        <v>33</v>
      </c>
      <c r="E18" s="1" t="s">
        <v>34</v>
      </c>
      <c r="F18" s="1" t="s">
        <v>35</v>
      </c>
    </row>
    <row r="21" spans="2:10" s="4" customFormat="1">
      <c r="C21" s="4" t="s">
        <v>14</v>
      </c>
      <c r="D21" s="6"/>
      <c r="F21" s="7" t="s">
        <v>17</v>
      </c>
      <c r="G21" s="5" t="s">
        <v>2</v>
      </c>
      <c r="H21" s="5" t="s">
        <v>3</v>
      </c>
      <c r="I21" s="5" t="s">
        <v>23</v>
      </c>
      <c r="J21" s="6"/>
    </row>
    <row r="22" spans="2:10">
      <c r="B22" s="4" t="s">
        <v>2</v>
      </c>
      <c r="C22" t="s">
        <v>49</v>
      </c>
      <c r="D22" s="3"/>
      <c r="F22" s="4" t="s">
        <v>0</v>
      </c>
      <c r="G22" s="1" t="s">
        <v>40</v>
      </c>
      <c r="H22" s="1" t="s">
        <v>39</v>
      </c>
      <c r="I22" s="8" t="s">
        <v>38</v>
      </c>
      <c r="J22" s="3"/>
    </row>
    <row r="23" spans="2:10">
      <c r="B23" s="4" t="s">
        <v>3</v>
      </c>
      <c r="C23" t="s">
        <v>37</v>
      </c>
      <c r="D23" s="3"/>
      <c r="F23" s="4" t="s">
        <v>1</v>
      </c>
      <c r="G23" s="1" t="s">
        <v>41</v>
      </c>
      <c r="H23" s="8" t="s">
        <v>43</v>
      </c>
      <c r="I23" s="1" t="s">
        <v>42</v>
      </c>
      <c r="J23" s="3"/>
    </row>
    <row r="24" spans="2:10">
      <c r="B24" s="4" t="s">
        <v>23</v>
      </c>
      <c r="C24" t="s">
        <v>36</v>
      </c>
      <c r="D24" s="3"/>
      <c r="F24" s="4" t="s">
        <v>21</v>
      </c>
      <c r="G24" s="8" t="s">
        <v>44</v>
      </c>
      <c r="H24" s="1" t="s">
        <v>45</v>
      </c>
      <c r="I24" s="1" t="s">
        <v>46</v>
      </c>
      <c r="J24" s="3"/>
    </row>
    <row r="25" spans="2:10">
      <c r="B25" s="3"/>
      <c r="C25" s="3"/>
      <c r="F25" s="3"/>
      <c r="G25" s="3"/>
      <c r="H25" s="3"/>
      <c r="I25" s="3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L29"/>
  <sheetViews>
    <sheetView tabSelected="1" workbookViewId="0">
      <selection activeCell="B26" sqref="B26:F28"/>
    </sheetView>
  </sheetViews>
  <sheetFormatPr defaultRowHeight="15"/>
  <cols>
    <col min="2" max="2" width="13.85546875" bestFit="1" customWidth="1"/>
    <col min="3" max="3" width="14.28515625" bestFit="1" customWidth="1"/>
    <col min="4" max="4" width="10" bestFit="1" customWidth="1"/>
    <col min="5" max="5" width="13.85546875" bestFit="1" customWidth="1"/>
    <col min="6" max="6" width="9.85546875" style="1" bestFit="1" customWidth="1"/>
    <col min="7" max="7" width="23.42578125" bestFit="1" customWidth="1"/>
    <col min="8" max="8" width="22.85546875" bestFit="1" customWidth="1"/>
    <col min="9" max="9" width="12.28515625" bestFit="1" customWidth="1"/>
    <col min="10" max="10" width="16" bestFit="1" customWidth="1"/>
    <col min="11" max="11" width="9.140625" style="1"/>
  </cols>
  <sheetData>
    <row r="2" spans="2:12">
      <c r="B2" s="4"/>
      <c r="C2" s="5" t="s">
        <v>50</v>
      </c>
      <c r="D2" s="4"/>
      <c r="E2" s="4"/>
      <c r="F2" s="5" t="s">
        <v>53</v>
      </c>
      <c r="G2" s="3"/>
      <c r="H2" s="4" t="s">
        <v>4</v>
      </c>
      <c r="I2" s="5" t="s">
        <v>2</v>
      </c>
      <c r="J2" s="5" t="s">
        <v>3</v>
      </c>
      <c r="K2" s="2"/>
    </row>
    <row r="3" spans="2:12">
      <c r="B3" s="4" t="s">
        <v>0</v>
      </c>
      <c r="C3" s="1" t="s">
        <v>51</v>
      </c>
      <c r="E3" s="4" t="s">
        <v>2</v>
      </c>
      <c r="F3" s="1" t="s">
        <v>54</v>
      </c>
      <c r="G3" s="3"/>
      <c r="H3" s="4" t="s">
        <v>0</v>
      </c>
      <c r="I3" s="1">
        <f>0.5*10</f>
        <v>5</v>
      </c>
      <c r="J3" s="1">
        <f>0.2*10</f>
        <v>2</v>
      </c>
      <c r="K3" s="2"/>
    </row>
    <row r="4" spans="2:12">
      <c r="B4" s="4" t="s">
        <v>1</v>
      </c>
      <c r="C4" s="1" t="s">
        <v>52</v>
      </c>
      <c r="E4" s="4" t="s">
        <v>3</v>
      </c>
      <c r="F4" s="1" t="s">
        <v>55</v>
      </c>
      <c r="G4" s="3"/>
      <c r="H4" s="4" t="s">
        <v>1</v>
      </c>
      <c r="I4" s="1">
        <f>0.5*2</f>
        <v>1</v>
      </c>
      <c r="J4" s="1">
        <f>0.2*2</f>
        <v>0.4</v>
      </c>
      <c r="K4" s="2"/>
    </row>
    <row r="5" spans="2:12">
      <c r="B5" s="3"/>
      <c r="C5" s="3"/>
      <c r="D5" s="3"/>
      <c r="E5" s="3"/>
      <c r="F5" s="2"/>
      <c r="H5" s="3"/>
      <c r="I5" s="3"/>
      <c r="J5" s="3"/>
    </row>
    <row r="6" spans="2:12">
      <c r="B6" s="4"/>
      <c r="C6" s="4" t="s">
        <v>14</v>
      </c>
      <c r="D6" s="6"/>
      <c r="E6" s="4"/>
      <c r="F6" s="4" t="s">
        <v>17</v>
      </c>
      <c r="G6" s="5" t="s">
        <v>2</v>
      </c>
      <c r="H6" s="5" t="s">
        <v>3</v>
      </c>
      <c r="I6" s="3"/>
    </row>
    <row r="7" spans="2:12">
      <c r="B7" s="4" t="s">
        <v>2</v>
      </c>
      <c r="C7" t="s">
        <v>57</v>
      </c>
      <c r="D7" s="3"/>
      <c r="F7" s="4" t="s">
        <v>0</v>
      </c>
      <c r="G7" s="1" t="s">
        <v>58</v>
      </c>
      <c r="H7" s="8" t="s">
        <v>60</v>
      </c>
      <c r="I7" s="3"/>
    </row>
    <row r="8" spans="2:12">
      <c r="B8" s="4" t="s">
        <v>3</v>
      </c>
      <c r="C8" t="s">
        <v>56</v>
      </c>
      <c r="D8" s="3"/>
      <c r="F8" s="4" t="s">
        <v>1</v>
      </c>
      <c r="G8" s="8" t="s">
        <v>59</v>
      </c>
      <c r="H8" s="1" t="s">
        <v>61</v>
      </c>
      <c r="I8" s="3"/>
    </row>
    <row r="9" spans="2:12">
      <c r="B9" s="3"/>
      <c r="C9" s="3"/>
      <c r="F9" s="2"/>
      <c r="G9" s="3"/>
      <c r="H9" s="3"/>
    </row>
    <row r="11" spans="2:12">
      <c r="B11" s="4"/>
      <c r="C11" s="5" t="s">
        <v>50</v>
      </c>
      <c r="E11" s="4"/>
      <c r="F11" s="5" t="s">
        <v>53</v>
      </c>
      <c r="G11" s="3"/>
      <c r="H11" s="4" t="s">
        <v>4</v>
      </c>
      <c r="I11" s="5" t="s">
        <v>2</v>
      </c>
      <c r="J11" s="5" t="s">
        <v>3</v>
      </c>
      <c r="K11" s="5" t="s">
        <v>23</v>
      </c>
      <c r="L11" s="3"/>
    </row>
    <row r="12" spans="2:12">
      <c r="B12" s="4" t="s">
        <v>0</v>
      </c>
      <c r="C12" s="1" t="s">
        <v>51</v>
      </c>
      <c r="E12" s="4" t="s">
        <v>2</v>
      </c>
      <c r="F12" s="1" t="s">
        <v>54</v>
      </c>
      <c r="G12" s="3"/>
      <c r="H12" s="4" t="s">
        <v>0</v>
      </c>
      <c r="I12" s="1">
        <f>0.5*10</f>
        <v>5</v>
      </c>
      <c r="J12" s="1">
        <f>0.2*10</f>
        <v>2</v>
      </c>
      <c r="K12" s="1">
        <f>0.1*10</f>
        <v>1</v>
      </c>
      <c r="L12" s="3"/>
    </row>
    <row r="13" spans="2:12">
      <c r="B13" s="4" t="s">
        <v>1</v>
      </c>
      <c r="C13" s="1" t="s">
        <v>52</v>
      </c>
      <c r="E13" s="4" t="s">
        <v>3</v>
      </c>
      <c r="F13" s="1" t="s">
        <v>55</v>
      </c>
      <c r="G13" s="3"/>
      <c r="H13" s="4" t="s">
        <v>1</v>
      </c>
      <c r="I13" s="1">
        <f>0.5*2</f>
        <v>1</v>
      </c>
      <c r="J13" s="1">
        <f>0.2*2</f>
        <v>0.4</v>
      </c>
      <c r="K13" s="1">
        <f>0.1*2</f>
        <v>0.2</v>
      </c>
      <c r="L13" s="3"/>
    </row>
    <row r="14" spans="2:12">
      <c r="C14" s="4"/>
      <c r="D14" s="1"/>
      <c r="E14" s="4" t="s">
        <v>23</v>
      </c>
      <c r="F14" s="1" t="s">
        <v>62</v>
      </c>
      <c r="G14" s="3"/>
      <c r="H14" s="3"/>
      <c r="I14" s="3"/>
      <c r="J14" s="3"/>
      <c r="K14" s="2"/>
    </row>
    <row r="15" spans="2:12">
      <c r="B15" s="3"/>
      <c r="C15" s="3"/>
      <c r="D15" s="3"/>
      <c r="E15" s="3"/>
      <c r="F15" s="2"/>
    </row>
    <row r="16" spans="2:12">
      <c r="B16" s="7" t="s">
        <v>63</v>
      </c>
      <c r="C16" s="4" t="s">
        <v>14</v>
      </c>
      <c r="E16" s="7" t="s">
        <v>65</v>
      </c>
      <c r="F16" s="4" t="s">
        <v>14</v>
      </c>
      <c r="G16" s="3"/>
    </row>
    <row r="17" spans="2:10">
      <c r="B17" s="7" t="s">
        <v>2</v>
      </c>
      <c r="C17" t="s">
        <v>57</v>
      </c>
      <c r="E17" s="7" t="s">
        <v>2</v>
      </c>
      <c r="F17" t="s">
        <v>57</v>
      </c>
      <c r="G17" s="3"/>
    </row>
    <row r="18" spans="2:10">
      <c r="B18" s="7" t="s">
        <v>3</v>
      </c>
      <c r="C18" t="s">
        <v>15</v>
      </c>
      <c r="E18" s="7" t="s">
        <v>3</v>
      </c>
      <c r="F18" t="s">
        <v>56</v>
      </c>
      <c r="G18" s="3"/>
    </row>
    <row r="19" spans="2:10">
      <c r="B19" s="7" t="s">
        <v>23</v>
      </c>
      <c r="C19" t="s">
        <v>64</v>
      </c>
      <c r="E19" s="7" t="s">
        <v>23</v>
      </c>
      <c r="F19" t="s">
        <v>64</v>
      </c>
      <c r="G19" s="3"/>
    </row>
    <row r="20" spans="2:10">
      <c r="B20" s="3"/>
      <c r="C20" s="3"/>
      <c r="D20" s="3"/>
      <c r="E20" s="3"/>
      <c r="F20" s="2"/>
    </row>
    <row r="21" spans="2:10">
      <c r="B21" s="4"/>
      <c r="C21" s="5" t="s">
        <v>50</v>
      </c>
      <c r="E21" s="4"/>
      <c r="F21" s="5" t="s">
        <v>53</v>
      </c>
      <c r="G21" s="3"/>
      <c r="H21" s="4" t="s">
        <v>4</v>
      </c>
      <c r="I21" s="5" t="s">
        <v>2</v>
      </c>
      <c r="J21" s="5" t="s">
        <v>3</v>
      </c>
    </row>
    <row r="22" spans="2:10">
      <c r="B22" s="4" t="s">
        <v>0</v>
      </c>
      <c r="C22" s="1" t="s">
        <v>51</v>
      </c>
      <c r="E22" s="4" t="s">
        <v>2</v>
      </c>
      <c r="F22" s="1" t="s">
        <v>54</v>
      </c>
      <c r="G22" s="3"/>
      <c r="H22" s="4" t="s">
        <v>0</v>
      </c>
      <c r="I22" s="1">
        <f>0.5*10</f>
        <v>5</v>
      </c>
      <c r="J22" s="1">
        <f>0.2*10</f>
        <v>2</v>
      </c>
    </row>
    <row r="23" spans="2:10">
      <c r="B23" s="4" t="s">
        <v>1</v>
      </c>
      <c r="C23" s="1" t="s">
        <v>52</v>
      </c>
      <c r="E23" s="4" t="s">
        <v>3</v>
      </c>
      <c r="F23" s="1" t="s">
        <v>55</v>
      </c>
      <c r="G23" s="3"/>
      <c r="H23" s="4" t="s">
        <v>1</v>
      </c>
      <c r="I23" s="1">
        <f>0.5*2</f>
        <v>1</v>
      </c>
      <c r="J23" s="1">
        <f>0.2*2</f>
        <v>0.4</v>
      </c>
    </row>
    <row r="24" spans="2:10">
      <c r="B24" s="4" t="s">
        <v>21</v>
      </c>
      <c r="C24" s="1" t="s">
        <v>66</v>
      </c>
      <c r="H24" s="4" t="s">
        <v>21</v>
      </c>
      <c r="I24" s="1">
        <f>0.5*1</f>
        <v>0.5</v>
      </c>
      <c r="J24" s="1">
        <f>0.2*1</f>
        <v>0.2</v>
      </c>
    </row>
    <row r="26" spans="2:10">
      <c r="B26" s="7" t="s">
        <v>63</v>
      </c>
      <c r="C26" s="4" t="s">
        <v>14</v>
      </c>
      <c r="E26" s="7" t="s">
        <v>65</v>
      </c>
      <c r="F26" s="4" t="s">
        <v>14</v>
      </c>
      <c r="G26" s="3"/>
    </row>
    <row r="27" spans="2:10">
      <c r="B27" s="7" t="s">
        <v>2</v>
      </c>
      <c r="C27" t="s">
        <v>57</v>
      </c>
      <c r="E27" s="7" t="s">
        <v>2</v>
      </c>
      <c r="F27" t="s">
        <v>68</v>
      </c>
      <c r="G27" s="3"/>
    </row>
    <row r="28" spans="2:10">
      <c r="B28" s="7" t="s">
        <v>3</v>
      </c>
      <c r="C28" t="s">
        <v>67</v>
      </c>
      <c r="E28" s="7" t="s">
        <v>3</v>
      </c>
      <c r="F28" t="s">
        <v>56</v>
      </c>
      <c r="G28" s="3"/>
    </row>
    <row r="29" spans="2:10">
      <c r="B29" s="3"/>
      <c r="C29" s="3"/>
      <c r="D29" s="3"/>
      <c r="E29" s="3"/>
      <c r="F2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Examples 1-2</vt:lpstr>
      <vt:lpstr>Examples 3-4-5</vt:lpstr>
      <vt:lpstr>Sheet3</vt:lpstr>
    </vt:vector>
  </TitlesOfParts>
  <Company>University of Georgia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2012-06-19T05:08:05Z</dcterms:created>
  <dcterms:modified xsi:type="dcterms:W3CDTF">2012-06-21T17:33:40Z</dcterms:modified>
</cp:coreProperties>
</file>