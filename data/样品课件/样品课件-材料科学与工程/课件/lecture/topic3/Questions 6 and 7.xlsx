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5180" windowHeight="8580"/>
  </bookViews>
  <sheets>
    <sheet name="Question 6" sheetId="5" r:id="rId1"/>
    <sheet name="Question 7" sheetId="6" r:id="rId2"/>
  </sheets>
  <calcPr calcId="125725"/>
</workbook>
</file>

<file path=xl/calcChain.xml><?xml version="1.0" encoding="utf-8"?>
<calcChain xmlns="http://schemas.openxmlformats.org/spreadsheetml/2006/main">
  <c r="B28" i="5"/>
  <c r="B27"/>
  <c r="B27" i="6"/>
  <c r="B26"/>
  <c r="B48"/>
  <c r="B17"/>
  <c r="B15"/>
  <c r="B9"/>
  <c r="B35" s="1"/>
  <c r="B8"/>
  <c r="B7"/>
  <c r="B35" i="5"/>
  <c r="B21"/>
  <c r="B18"/>
  <c r="J3"/>
  <c r="F16" s="1"/>
  <c r="F18" s="1"/>
  <c r="B7"/>
  <c r="B8"/>
  <c r="B9"/>
  <c r="B36" s="1"/>
  <c r="B15"/>
  <c r="B16"/>
  <c r="B29" l="1"/>
  <c r="B34" i="6"/>
  <c r="B39" s="1"/>
  <c r="B44"/>
  <c r="B28"/>
  <c r="B31" s="1"/>
  <c r="B51" s="1"/>
  <c r="B56" s="1"/>
  <c r="B59" s="1"/>
  <c r="B20"/>
  <c r="F45" i="5"/>
  <c r="B45"/>
  <c r="B36" i="6" l="1"/>
  <c r="B32" i="5"/>
  <c r="F32"/>
  <c r="B40"/>
  <c r="B37"/>
  <c r="B40" i="6" l="1"/>
  <c r="B45" s="1"/>
  <c r="F41" i="5"/>
  <c r="B41"/>
  <c r="B52" i="6" l="1"/>
  <c r="B53" s="1"/>
  <c r="F52" i="5"/>
  <c r="F53" s="1"/>
  <c r="F54" s="1"/>
  <c r="F46"/>
  <c r="B52"/>
  <c r="B53" s="1"/>
  <c r="B54" s="1"/>
  <c r="B46"/>
</calcChain>
</file>

<file path=xl/sharedStrings.xml><?xml version="1.0" encoding="utf-8"?>
<sst xmlns="http://schemas.openxmlformats.org/spreadsheetml/2006/main" count="156" uniqueCount="78">
  <si>
    <t>E</t>
  </si>
  <si>
    <t>W/mK</t>
  </si>
  <si>
    <t>density</t>
  </si>
  <si>
    <t>kg/m3</t>
  </si>
  <si>
    <t>he</t>
  </si>
  <si>
    <t>W/m2K</t>
  </si>
  <si>
    <t>R</t>
  </si>
  <si>
    <t>m</t>
  </si>
  <si>
    <t>s</t>
  </si>
  <si>
    <t>m/s</t>
  </si>
  <si>
    <t>min</t>
  </si>
  <si>
    <t>D1</t>
  </si>
  <si>
    <t>mm</t>
  </si>
  <si>
    <t>D2</t>
  </si>
  <si>
    <t>D3</t>
  </si>
  <si>
    <t>beta1</t>
  </si>
  <si>
    <t>beta2</t>
  </si>
  <si>
    <t>Calculation of Biot Number</t>
  </si>
  <si>
    <t>v</t>
  </si>
  <si>
    <t>Bi</t>
  </si>
  <si>
    <t>Calculate Bi=0 Eo</t>
  </si>
  <si>
    <t>Eo</t>
  </si>
  <si>
    <t>Calculate Bi=inf(Einf)</t>
  </si>
  <si>
    <t>P1</t>
  </si>
  <si>
    <t>P2</t>
  </si>
  <si>
    <t>P3</t>
  </si>
  <si>
    <t>f(beta1)</t>
  </si>
  <si>
    <t>f(beta2)</t>
  </si>
  <si>
    <t>Einf</t>
  </si>
  <si>
    <t>Calculation of E</t>
  </si>
  <si>
    <t>Calculation of Lag factor at Bi = inf (Linf)</t>
  </si>
  <si>
    <t>gamma1</t>
  </si>
  <si>
    <t>gamma2</t>
  </si>
  <si>
    <t>Linf</t>
  </si>
  <si>
    <t>Calculation of the lag factor at the thermal centre Lc</t>
  </si>
  <si>
    <t>lambda</t>
  </si>
  <si>
    <t>Lc</t>
  </si>
  <si>
    <t>Calculation of the lag factor for the mass-average temp Lm</t>
  </si>
  <si>
    <t>N</t>
  </si>
  <si>
    <t>mu</t>
  </si>
  <si>
    <t>Lm</t>
  </si>
  <si>
    <t>Calculation fo the first root of the transcendental equation for a sphere (alpha)</t>
  </si>
  <si>
    <t>alpha</t>
  </si>
  <si>
    <t>Calculation for the chilling time at the centre theta c</t>
  </si>
  <si>
    <t>W</t>
  </si>
  <si>
    <t>AIR BLAST CHILLING</t>
  </si>
  <si>
    <t>PACK DIMENSIONS</t>
  </si>
  <si>
    <t>k_l</t>
  </si>
  <si>
    <t>c_l</t>
  </si>
  <si>
    <t>IMMERSION CHILLING</t>
  </si>
  <si>
    <t>x</t>
  </si>
  <si>
    <t>k</t>
  </si>
  <si>
    <t>ha</t>
  </si>
  <si>
    <t>PACK PROPERTIES</t>
  </si>
  <si>
    <t>THERMAL PROPERTIES OF MINCE</t>
  </si>
  <si>
    <t>theta_a</t>
  </si>
  <si>
    <t>C</t>
  </si>
  <si>
    <t>INITIAL CONDITION</t>
  </si>
  <si>
    <t>theta_c</t>
  </si>
  <si>
    <t>REQUIRED TEMP</t>
  </si>
  <si>
    <t>theta_f</t>
  </si>
  <si>
    <t>t</t>
  </si>
  <si>
    <t>J/kgK</t>
  </si>
  <si>
    <t>hr</t>
  </si>
  <si>
    <t>theta_i</t>
  </si>
  <si>
    <t>Immersion chilling is a lot faster, therefore the equipment is smaller although the cost of the liquid medium is higher than air.</t>
  </si>
  <si>
    <t>With immersion there is risk of contamination for the product, but in the case of a vacuum sealed product this is not likely a problem.</t>
  </si>
  <si>
    <t>Einf is less than 1, this is correct, infact the value can be as low as 0.75 for cooling shape factors so the values can be between 0.75 and 3.</t>
  </si>
  <si>
    <t>The value of E is less than 1, it can go as low as 0.75 for cooling, it is a value between Einf and Eo as confirmation it is correct.</t>
  </si>
  <si>
    <t>Note freezing shape factors are different and should be a value between 1 and 3.</t>
  </si>
  <si>
    <t>For modelling as a brick.  You caould also model as an ellipsoid and the answer will be different but similar.</t>
  </si>
  <si>
    <t>SIDE OF PORK DIMENSIONS</t>
  </si>
  <si>
    <t>FINAL CONDITION</t>
  </si>
  <si>
    <t>At this time the mass average temperature is</t>
  </si>
  <si>
    <t>theta_m</t>
  </si>
  <si>
    <t>Average product heat load for 30 sides at 57kg each</t>
  </si>
  <si>
    <t>phi</t>
  </si>
  <si>
    <t>[(30 x 57 x c_l)*(theta_in-theta_m)]/t</t>
  </si>
</sst>
</file>

<file path=xl/styles.xml><?xml version="1.0" encoding="utf-8"?>
<styleSheet xmlns="http://schemas.openxmlformats.org/spreadsheetml/2006/main">
  <numFmts count="1">
    <numFmt numFmtId="164" formatCode="0.00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2" fontId="0" fillId="0" borderId="0" xfId="0" applyNumberFormat="1"/>
    <xf numFmtId="164" fontId="0" fillId="0" borderId="0" xfId="0" applyNumberFormat="1"/>
    <xf numFmtId="0" fontId="0" fillId="0" borderId="0" xfId="0" applyFill="1"/>
    <xf numFmtId="0" fontId="3" fillId="0" borderId="0" xfId="0" applyFont="1"/>
    <xf numFmtId="0" fontId="2" fillId="0" borderId="0" xfId="1" applyFont="1"/>
    <xf numFmtId="0" fontId="3" fillId="0" borderId="0" xfId="1"/>
    <xf numFmtId="2" fontId="3" fillId="0" borderId="0" xfId="1" applyNumberFormat="1"/>
    <xf numFmtId="0" fontId="3" fillId="0" borderId="0" xfId="1" applyFont="1"/>
    <xf numFmtId="164" fontId="3" fillId="0" borderId="0" xfId="1" applyNumberFormat="1"/>
    <xf numFmtId="0" fontId="3" fillId="0" borderId="0" xfId="1" applyFill="1"/>
    <xf numFmtId="1" fontId="3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R67"/>
  <sheetViews>
    <sheetView tabSelected="1" topLeftCell="A22" workbookViewId="0">
      <selection activeCell="B35" sqref="B35"/>
    </sheetView>
  </sheetViews>
  <sheetFormatPr defaultRowHeight="12.75"/>
  <sheetData>
    <row r="2" spans="1:11">
      <c r="A2" s="1" t="s">
        <v>46</v>
      </c>
      <c r="E2" s="1" t="s">
        <v>54</v>
      </c>
      <c r="I2" s="1" t="s">
        <v>53</v>
      </c>
    </row>
    <row r="3" spans="1:11">
      <c r="A3" t="s">
        <v>11</v>
      </c>
      <c r="B3">
        <v>35</v>
      </c>
      <c r="C3" t="s">
        <v>12</v>
      </c>
      <c r="E3" t="s">
        <v>47</v>
      </c>
      <c r="F3">
        <v>0.68</v>
      </c>
      <c r="G3" t="s">
        <v>1</v>
      </c>
      <c r="I3" t="s">
        <v>50</v>
      </c>
      <c r="J3">
        <f>0.0002</f>
        <v>2.0000000000000001E-4</v>
      </c>
      <c r="K3" t="s">
        <v>7</v>
      </c>
    </row>
    <row r="4" spans="1:11">
      <c r="A4" t="s">
        <v>13</v>
      </c>
      <c r="B4">
        <v>120</v>
      </c>
      <c r="C4" t="s">
        <v>12</v>
      </c>
      <c r="E4" t="s">
        <v>48</v>
      </c>
      <c r="F4">
        <v>3440</v>
      </c>
      <c r="G4" s="5" t="s">
        <v>62</v>
      </c>
      <c r="I4" t="s">
        <v>51</v>
      </c>
      <c r="J4">
        <v>0.115</v>
      </c>
      <c r="K4" t="s">
        <v>1</v>
      </c>
    </row>
    <row r="5" spans="1:11">
      <c r="A5" t="s">
        <v>14</v>
      </c>
      <c r="B5">
        <v>235</v>
      </c>
      <c r="C5" t="s">
        <v>12</v>
      </c>
      <c r="E5" t="s">
        <v>2</v>
      </c>
      <c r="F5">
        <v>1050</v>
      </c>
      <c r="G5" t="s">
        <v>3</v>
      </c>
    </row>
    <row r="7" spans="1:11">
      <c r="A7" t="s">
        <v>6</v>
      </c>
      <c r="B7">
        <f>B3/2/1000</f>
        <v>1.7500000000000002E-2</v>
      </c>
      <c r="C7" t="s">
        <v>7</v>
      </c>
      <c r="E7" s="1" t="s">
        <v>57</v>
      </c>
      <c r="I7" s="1" t="s">
        <v>59</v>
      </c>
    </row>
    <row r="8" spans="1:11">
      <c r="A8" t="s">
        <v>15</v>
      </c>
      <c r="B8" s="2">
        <f>B4/B3</f>
        <v>3.4285714285714284</v>
      </c>
      <c r="E8" s="5" t="s">
        <v>64</v>
      </c>
      <c r="F8">
        <v>70</v>
      </c>
      <c r="G8" t="s">
        <v>56</v>
      </c>
      <c r="I8" t="s">
        <v>60</v>
      </c>
      <c r="J8">
        <v>5</v>
      </c>
      <c r="K8" t="s">
        <v>56</v>
      </c>
    </row>
    <row r="9" spans="1:11">
      <c r="A9" t="s">
        <v>16</v>
      </c>
      <c r="B9" s="2">
        <f>B5/B3</f>
        <v>6.7142857142857144</v>
      </c>
    </row>
    <row r="10" spans="1:11">
      <c r="B10" s="2"/>
    </row>
    <row r="11" spans="1:11">
      <c r="A11" s="1" t="s">
        <v>45</v>
      </c>
      <c r="E11" s="1" t="s">
        <v>49</v>
      </c>
    </row>
    <row r="12" spans="1:11">
      <c r="A12" s="1" t="s">
        <v>17</v>
      </c>
    </row>
    <row r="13" spans="1:11">
      <c r="A13" s="5" t="s">
        <v>55</v>
      </c>
      <c r="B13">
        <v>0</v>
      </c>
      <c r="C13" t="s">
        <v>56</v>
      </c>
      <c r="E13" t="s">
        <v>55</v>
      </c>
      <c r="F13">
        <v>0</v>
      </c>
      <c r="G13" t="s">
        <v>56</v>
      </c>
    </row>
    <row r="14" spans="1:11">
      <c r="A14" t="s">
        <v>18</v>
      </c>
      <c r="B14">
        <v>3</v>
      </c>
      <c r="C14" t="s">
        <v>9</v>
      </c>
    </row>
    <row r="15" spans="1:11">
      <c r="A15" t="s">
        <v>52</v>
      </c>
      <c r="B15" s="2">
        <f>7.3*B14^0.8</f>
        <v>17.580040202549053</v>
      </c>
      <c r="C15" t="s">
        <v>5</v>
      </c>
      <c r="D15" s="2"/>
      <c r="E15" t="s">
        <v>52</v>
      </c>
      <c r="F15">
        <v>150</v>
      </c>
      <c r="G15" t="s">
        <v>5</v>
      </c>
    </row>
    <row r="16" spans="1:11">
      <c r="A16" t="s">
        <v>4</v>
      </c>
      <c r="B16">
        <f>1/(1/B15+J3/J4)</f>
        <v>17.058494094756423</v>
      </c>
      <c r="C16" t="s">
        <v>5</v>
      </c>
      <c r="E16" t="s">
        <v>4</v>
      </c>
      <c r="F16">
        <f>1/(1/F15+J3/J4)</f>
        <v>118.9655172413793</v>
      </c>
      <c r="G16" t="s">
        <v>5</v>
      </c>
    </row>
    <row r="18" spans="1:18">
      <c r="A18" t="s">
        <v>19</v>
      </c>
      <c r="B18" s="2">
        <f>B16*B7/F3</f>
        <v>0.43900536273270208</v>
      </c>
      <c r="E18" t="s">
        <v>19</v>
      </c>
      <c r="F18" s="2">
        <f>F16*B7/F3</f>
        <v>3.0616125760649084</v>
      </c>
    </row>
    <row r="20" spans="1:18">
      <c r="A20" s="1" t="s">
        <v>20</v>
      </c>
      <c r="H20" s="5" t="s">
        <v>70</v>
      </c>
      <c r="J20" s="5"/>
    </row>
    <row r="21" spans="1:18">
      <c r="A21" t="s">
        <v>21</v>
      </c>
      <c r="B21" s="2">
        <f>1+1/B8+1/B9</f>
        <v>1.4406028368794326</v>
      </c>
      <c r="F21" s="2"/>
      <c r="R21" s="5"/>
    </row>
    <row r="23" spans="1:18">
      <c r="A23" s="1" t="s">
        <v>22</v>
      </c>
    </row>
    <row r="24" spans="1:18">
      <c r="A24" t="s">
        <v>23</v>
      </c>
      <c r="B24">
        <v>0.75</v>
      </c>
    </row>
    <row r="25" spans="1:18">
      <c r="A25" t="s">
        <v>24</v>
      </c>
      <c r="B25">
        <v>0.75</v>
      </c>
    </row>
    <row r="26" spans="1:18">
      <c r="A26" t="s">
        <v>25</v>
      </c>
      <c r="B26">
        <v>-1</v>
      </c>
    </row>
    <row r="27" spans="1:18">
      <c r="A27" t="s">
        <v>26</v>
      </c>
      <c r="B27" s="3">
        <f>1/(B8^2)+0.01*B26*EXP(B8-(B8^2)/6)</f>
        <v>4.1603712854312275E-2</v>
      </c>
      <c r="D27" s="5"/>
      <c r="P27" s="5"/>
    </row>
    <row r="28" spans="1:18">
      <c r="A28" t="s">
        <v>27</v>
      </c>
      <c r="B28" s="3">
        <f>1/B9^2+0.01*B26*EXP(B9-(B9^2)/6)</f>
        <v>1.7685635456937996E-2</v>
      </c>
    </row>
    <row r="29" spans="1:18">
      <c r="A29" t="s">
        <v>28</v>
      </c>
      <c r="B29" s="2">
        <f>0.75+B24*B27+B25*B28</f>
        <v>0.79446701123343777</v>
      </c>
      <c r="H29" s="5" t="s">
        <v>67</v>
      </c>
    </row>
    <row r="30" spans="1:18">
      <c r="H30" s="5" t="s">
        <v>69</v>
      </c>
    </row>
    <row r="31" spans="1:18">
      <c r="A31" s="1" t="s">
        <v>29</v>
      </c>
    </row>
    <row r="32" spans="1:18">
      <c r="A32" t="s">
        <v>0</v>
      </c>
      <c r="B32">
        <f>(B18^(4/3)+1.85)/((B18^(4/3)/$B29)+(1.85/$B21))</f>
        <v>1.2813701168443694</v>
      </c>
      <c r="E32" t="s">
        <v>0</v>
      </c>
      <c r="F32">
        <f>(F18^(4/3)+1.85)/((F18^(4/3)/$B29)+(1.85/$B21))</f>
        <v>0.91507259156909126</v>
      </c>
      <c r="H32" s="5" t="s">
        <v>68</v>
      </c>
    </row>
    <row r="34" spans="1:6">
      <c r="A34" s="1" t="s">
        <v>30</v>
      </c>
    </row>
    <row r="35" spans="1:6">
      <c r="A35" t="s">
        <v>31</v>
      </c>
      <c r="B35" s="2">
        <f>4*B8/PI()</f>
        <v>4.3653927248062718</v>
      </c>
    </row>
    <row r="36" spans="1:6">
      <c r="A36" t="s">
        <v>32</v>
      </c>
      <c r="B36" s="2">
        <f>1.5*B9</f>
        <v>10.071428571428571</v>
      </c>
    </row>
    <row r="37" spans="1:6">
      <c r="A37" t="s">
        <v>33</v>
      </c>
      <c r="B37" s="2">
        <f>1.271+0.305*EXP(0.172*B35-0.115*B35^2)+0.425*EXP(0.09*B36-0.128*B36^2)</f>
        <v>1.3432171558569579</v>
      </c>
    </row>
    <row r="39" spans="1:6">
      <c r="A39" s="1" t="s">
        <v>34</v>
      </c>
    </row>
    <row r="40" spans="1:6">
      <c r="A40" t="s">
        <v>35</v>
      </c>
      <c r="B40" s="2">
        <f>B35</f>
        <v>4.3653927248062718</v>
      </c>
    </row>
    <row r="41" spans="1:6">
      <c r="A41" t="s">
        <v>36</v>
      </c>
      <c r="B41" s="2">
        <f>(B18^1.35+1/$B$40)/(B18^1.35/$B$37+1/$B$40)</f>
        <v>1.1773777393712221</v>
      </c>
      <c r="F41" s="2">
        <f>(F18^1.35+1/$B$40)/(F18^1.35/$B$37+1/$B$40)</f>
        <v>1.3213841020709789</v>
      </c>
    </row>
    <row r="43" spans="1:6">
      <c r="A43" s="1" t="s">
        <v>37</v>
      </c>
    </row>
    <row r="44" spans="1:6">
      <c r="A44" t="s">
        <v>38</v>
      </c>
      <c r="B44">
        <v>3</v>
      </c>
    </row>
    <row r="45" spans="1:6">
      <c r="A45" t="s">
        <v>39</v>
      </c>
      <c r="B45" s="3">
        <f>((1.5+0.69*B18)/(1.5+B18))^B44</f>
        <v>0.8038736368595536</v>
      </c>
      <c r="F45" s="3">
        <f>((1.5+0.69*F18)/(1.5+F18))^B44</f>
        <v>0.49667574019428889</v>
      </c>
    </row>
    <row r="46" spans="1:6">
      <c r="A46" t="s">
        <v>40</v>
      </c>
      <c r="B46" s="2">
        <f>B45*B41</f>
        <v>0.94646292530582399</v>
      </c>
      <c r="C46" s="2"/>
      <c r="F46" s="2">
        <f>F45*F41</f>
        <v>0.65629942697706922</v>
      </c>
    </row>
    <row r="47" spans="1:6">
      <c r="B47" s="4"/>
    </row>
    <row r="48" spans="1:6">
      <c r="A48" s="1" t="s">
        <v>41</v>
      </c>
    </row>
    <row r="49" spans="1:7">
      <c r="A49" t="s">
        <v>42</v>
      </c>
      <c r="B49">
        <v>1.1000000000000001</v>
      </c>
      <c r="F49">
        <v>2.2999999999999998</v>
      </c>
    </row>
    <row r="51" spans="1:7">
      <c r="A51" s="1" t="s">
        <v>43</v>
      </c>
    </row>
    <row r="52" spans="1:7">
      <c r="A52" t="s">
        <v>61</v>
      </c>
      <c r="B52">
        <f>3*$F$5*$F$4*$B$7^2/B49^2/$F$3/B32*(LN(($F$8-B13)/($J$8-B13)*B41))</f>
        <v>8820.6001670666374</v>
      </c>
      <c r="C52" t="s">
        <v>8</v>
      </c>
      <c r="E52" t="s">
        <v>61</v>
      </c>
      <c r="F52">
        <f>3*$F$5*$F$4*$B$7^2/F49^2/$F$3/F32*(LN(($F$8-F13)/($J$8-F13)*F41))</f>
        <v>2941.5153294414245</v>
      </c>
      <c r="G52" t="s">
        <v>8</v>
      </c>
    </row>
    <row r="53" spans="1:7">
      <c r="B53">
        <f>B52/60</f>
        <v>147.01000278444397</v>
      </c>
      <c r="C53" t="s">
        <v>10</v>
      </c>
      <c r="F53">
        <f>F52/60</f>
        <v>49.025255490690405</v>
      </c>
      <c r="G53" t="s">
        <v>10</v>
      </c>
    </row>
    <row r="54" spans="1:7">
      <c r="B54">
        <f>B53/60</f>
        <v>2.4501667130740663</v>
      </c>
      <c r="C54" t="s">
        <v>63</v>
      </c>
      <c r="F54">
        <f>F53/60</f>
        <v>0.81708759151150678</v>
      </c>
      <c r="G54" t="s">
        <v>63</v>
      </c>
    </row>
    <row r="56" spans="1:7">
      <c r="A56" s="5" t="s">
        <v>65</v>
      </c>
    </row>
    <row r="57" spans="1:7">
      <c r="A57" s="5" t="s">
        <v>66</v>
      </c>
    </row>
    <row r="63" spans="1:7">
      <c r="A63" s="1"/>
    </row>
    <row r="67" spans="1:1">
      <c r="A67" s="1"/>
    </row>
  </sheetData>
  <phoneticPr fontId="1" type="noConversion"/>
  <pageMargins left="0.75" right="0.75" top="1" bottom="1" header="0.5" footer="0.5"/>
  <pageSetup paperSize="9" scale="7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I66"/>
  <sheetViews>
    <sheetView topLeftCell="A10" workbookViewId="0">
      <selection activeCell="B29" sqref="B29"/>
    </sheetView>
  </sheetViews>
  <sheetFormatPr defaultRowHeight="12.75"/>
  <cols>
    <col min="1" max="16384" width="9.140625" style="7"/>
  </cols>
  <sheetData>
    <row r="2" spans="1:9">
      <c r="A2" s="6" t="s">
        <v>71</v>
      </c>
      <c r="E2" s="6" t="s">
        <v>54</v>
      </c>
      <c r="I2" s="6"/>
    </row>
    <row r="3" spans="1:9">
      <c r="A3" s="7" t="s">
        <v>11</v>
      </c>
      <c r="B3" s="7">
        <v>115</v>
      </c>
      <c r="C3" s="7" t="s">
        <v>12</v>
      </c>
      <c r="E3" s="7" t="s">
        <v>47</v>
      </c>
      <c r="F3" s="7">
        <v>0.48</v>
      </c>
      <c r="G3" s="7" t="s">
        <v>1</v>
      </c>
    </row>
    <row r="4" spans="1:9">
      <c r="A4" s="7" t="s">
        <v>13</v>
      </c>
      <c r="B4" s="7">
        <v>220</v>
      </c>
      <c r="C4" s="7" t="s">
        <v>12</v>
      </c>
      <c r="E4" s="7" t="s">
        <v>48</v>
      </c>
      <c r="F4" s="7">
        <v>2800</v>
      </c>
      <c r="G4" s="7" t="s">
        <v>62</v>
      </c>
    </row>
    <row r="5" spans="1:9">
      <c r="A5" s="7" t="s">
        <v>14</v>
      </c>
      <c r="B5" s="7">
        <v>385</v>
      </c>
      <c r="C5" s="7" t="s">
        <v>12</v>
      </c>
      <c r="E5" s="7" t="s">
        <v>2</v>
      </c>
      <c r="F5" s="7">
        <v>1040</v>
      </c>
      <c r="G5" s="7" t="s">
        <v>3</v>
      </c>
    </row>
    <row r="7" spans="1:9">
      <c r="A7" s="7" t="s">
        <v>6</v>
      </c>
      <c r="B7" s="7">
        <f>B3/2/1000</f>
        <v>5.7500000000000002E-2</v>
      </c>
      <c r="C7" s="7" t="s">
        <v>7</v>
      </c>
      <c r="E7" s="6" t="s">
        <v>57</v>
      </c>
      <c r="H7" s="6" t="s">
        <v>72</v>
      </c>
      <c r="I7" s="6"/>
    </row>
    <row r="8" spans="1:9">
      <c r="A8" s="7" t="s">
        <v>15</v>
      </c>
      <c r="B8" s="8">
        <f>B4/B3</f>
        <v>1.9130434782608696</v>
      </c>
      <c r="E8" s="7" t="s">
        <v>58</v>
      </c>
      <c r="F8" s="7">
        <v>37</v>
      </c>
      <c r="G8" s="7" t="s">
        <v>56</v>
      </c>
      <c r="H8" s="7">
        <v>5</v>
      </c>
      <c r="I8" s="7" t="s">
        <v>56</v>
      </c>
    </row>
    <row r="9" spans="1:9">
      <c r="A9" s="7" t="s">
        <v>16</v>
      </c>
      <c r="B9" s="8">
        <f>B5/B3</f>
        <v>3.347826086956522</v>
      </c>
    </row>
    <row r="10" spans="1:9">
      <c r="B10" s="8"/>
    </row>
    <row r="11" spans="1:9">
      <c r="A11" s="6" t="s">
        <v>45</v>
      </c>
      <c r="E11" s="6"/>
    </row>
    <row r="12" spans="1:9">
      <c r="A12" s="6" t="s">
        <v>17</v>
      </c>
    </row>
    <row r="13" spans="1:9">
      <c r="A13" s="9" t="s">
        <v>55</v>
      </c>
      <c r="B13" s="7">
        <v>2</v>
      </c>
      <c r="C13" s="7" t="s">
        <v>56</v>
      </c>
    </row>
    <row r="14" spans="1:9">
      <c r="A14" s="7" t="s">
        <v>18</v>
      </c>
      <c r="B14" s="7">
        <v>3</v>
      </c>
      <c r="C14" s="7" t="s">
        <v>9</v>
      </c>
    </row>
    <row r="15" spans="1:9">
      <c r="A15" s="7" t="s">
        <v>52</v>
      </c>
      <c r="B15" s="8">
        <f>7.3*B14^0.8</f>
        <v>17.580040202549053</v>
      </c>
      <c r="C15" s="7" t="s">
        <v>5</v>
      </c>
      <c r="D15" s="8"/>
    </row>
    <row r="17" spans="1:6">
      <c r="A17" s="7" t="s">
        <v>19</v>
      </c>
      <c r="B17" s="8">
        <f>B15*B7/F3</f>
        <v>2.1059423159303554</v>
      </c>
      <c r="F17" s="8"/>
    </row>
    <row r="19" spans="1:6">
      <c r="A19" s="6" t="s">
        <v>20</v>
      </c>
    </row>
    <row r="20" spans="1:6">
      <c r="A20" s="7" t="s">
        <v>21</v>
      </c>
      <c r="B20" s="8">
        <f>3*(B8+B9+B8^2*(1+B9)+B9^2*(1+B8))/2/B8/B9/(1+B8+B9)-((B8-B9)^2)^0.4/15</f>
        <v>1.9244035912680821</v>
      </c>
      <c r="F20" s="8"/>
    </row>
    <row r="22" spans="1:6">
      <c r="A22" s="6" t="s">
        <v>22</v>
      </c>
    </row>
    <row r="23" spans="1:6">
      <c r="A23" s="7" t="s">
        <v>23</v>
      </c>
      <c r="B23" s="7">
        <v>1.01</v>
      </c>
    </row>
    <row r="24" spans="1:6">
      <c r="A24" s="7" t="s">
        <v>24</v>
      </c>
      <c r="B24" s="7">
        <v>1.24</v>
      </c>
    </row>
    <row r="25" spans="1:6">
      <c r="A25" s="7" t="s">
        <v>25</v>
      </c>
      <c r="B25" s="7">
        <v>1</v>
      </c>
    </row>
    <row r="26" spans="1:6">
      <c r="A26" s="7" t="s">
        <v>26</v>
      </c>
      <c r="B26" s="10">
        <f>1/B8^2+0.01*B25*EXP(B8-(B8^2)/6)</f>
        <v>0.31005023612351063</v>
      </c>
    </row>
    <row r="27" spans="1:6">
      <c r="A27" s="7" t="s">
        <v>27</v>
      </c>
      <c r="B27" s="10">
        <f>1/B9^2+0.01*B25*EXP(B9-(B9^2)/6)</f>
        <v>0.13314472623208745</v>
      </c>
    </row>
    <row r="28" spans="1:6">
      <c r="A28" s="7" t="s">
        <v>28</v>
      </c>
      <c r="B28" s="8">
        <f>0.75+B23*B26+B24*B27</f>
        <v>1.2282501990125341</v>
      </c>
    </row>
    <row r="30" spans="1:6">
      <c r="A30" s="6" t="s">
        <v>29</v>
      </c>
    </row>
    <row r="31" spans="1:6">
      <c r="A31" s="7" t="s">
        <v>0</v>
      </c>
      <c r="B31" s="8">
        <f>(B17^(4/3)+1.85)/(B17^(4/3)/B28+1.85/B20)</f>
        <v>1.4400966337313805</v>
      </c>
    </row>
    <row r="33" spans="1:6">
      <c r="A33" s="6" t="s">
        <v>30</v>
      </c>
    </row>
    <row r="34" spans="1:6">
      <c r="A34" s="7" t="s">
        <v>31</v>
      </c>
      <c r="B34" s="8">
        <f>B8</f>
        <v>1.9130434782608696</v>
      </c>
    </row>
    <row r="35" spans="1:6">
      <c r="A35" s="7" t="s">
        <v>32</v>
      </c>
      <c r="B35" s="8">
        <f>B9</f>
        <v>3.347826086956522</v>
      </c>
    </row>
    <row r="36" spans="1:6">
      <c r="A36" s="7" t="s">
        <v>33</v>
      </c>
      <c r="B36" s="8">
        <f>1.271+0.305*EXP(0.172*B34-0.115*B34^2)+0.425*EXP(0.09*B35-0.128*B35^2)</f>
        <v>1.6860756529872569</v>
      </c>
    </row>
    <row r="38" spans="1:6">
      <c r="A38" s="6" t="s">
        <v>34</v>
      </c>
    </row>
    <row r="39" spans="1:6">
      <c r="A39" s="7" t="s">
        <v>35</v>
      </c>
      <c r="B39" s="8">
        <f>B34</f>
        <v>1.9130434782608696</v>
      </c>
    </row>
    <row r="40" spans="1:6">
      <c r="A40" s="7" t="s">
        <v>36</v>
      </c>
      <c r="B40" s="8">
        <f>(B17^1.35+1/$B$39)/(B17^1.35/$B$36+1/$B$39)</f>
        <v>1.5187805682803786</v>
      </c>
      <c r="F40" s="8"/>
    </row>
    <row r="42" spans="1:6">
      <c r="A42" s="6" t="s">
        <v>37</v>
      </c>
    </row>
    <row r="43" spans="1:6">
      <c r="A43" s="7" t="s">
        <v>38</v>
      </c>
      <c r="B43" s="7">
        <v>3</v>
      </c>
    </row>
    <row r="44" spans="1:6">
      <c r="A44" s="7" t="s">
        <v>39</v>
      </c>
      <c r="B44" s="10">
        <f>((1.5+0.69*B17)/(1.5+B17))^B43</f>
        <v>0.54926031673425579</v>
      </c>
      <c r="F44" s="10"/>
    </row>
    <row r="45" spans="1:6">
      <c r="A45" s="7" t="s">
        <v>40</v>
      </c>
      <c r="B45" s="8">
        <f>B44*B40</f>
        <v>0.83420589598351369</v>
      </c>
      <c r="C45" s="8"/>
      <c r="F45" s="8"/>
    </row>
    <row r="46" spans="1:6">
      <c r="B46" s="11"/>
    </row>
    <row r="47" spans="1:6">
      <c r="A47" s="6" t="s">
        <v>41</v>
      </c>
    </row>
    <row r="48" spans="1:6">
      <c r="A48" s="7" t="s">
        <v>42</v>
      </c>
      <c r="B48" s="7">
        <f>(2.092-2.029)/(2.2-2)*(2.11-2)+2.029</f>
        <v>2.06365</v>
      </c>
    </row>
    <row r="50" spans="1:7">
      <c r="A50" s="6" t="s">
        <v>43</v>
      </c>
    </row>
    <row r="51" spans="1:7">
      <c r="A51" s="7" t="s">
        <v>61</v>
      </c>
      <c r="B51" s="7">
        <f>(3*$F$5*$F$4*$B$7^2)/(B48^2*$F$3*B31)*LN((F8-B13)/(H8-B13)*B40)</f>
        <v>28205.081301724276</v>
      </c>
      <c r="C51" s="7" t="s">
        <v>8</v>
      </c>
    </row>
    <row r="52" spans="1:7">
      <c r="B52" s="8">
        <f>B51/60</f>
        <v>470.08468836207129</v>
      </c>
      <c r="C52" s="7" t="s">
        <v>10</v>
      </c>
    </row>
    <row r="53" spans="1:7">
      <c r="B53" s="8">
        <f>B52/60</f>
        <v>7.8347448060345215</v>
      </c>
      <c r="C53" s="7" t="s">
        <v>63</v>
      </c>
    </row>
    <row r="54" spans="1:7">
      <c r="B54" s="8"/>
    </row>
    <row r="55" spans="1:7">
      <c r="A55" s="6" t="s">
        <v>73</v>
      </c>
      <c r="B55" s="8"/>
    </row>
    <row r="56" spans="1:7">
      <c r="A56" s="7" t="s">
        <v>74</v>
      </c>
      <c r="B56" s="8">
        <f>B45*EXP((-F3*B51*B31*B48^2)/(3*F5*F4*B7^2))*(F8-B13)+B13</f>
        <v>3.6477809502027672</v>
      </c>
      <c r="C56" s="7" t="s">
        <v>56</v>
      </c>
    </row>
    <row r="58" spans="1:7">
      <c r="A58" s="6" t="s">
        <v>75</v>
      </c>
      <c r="G58" s="7" t="s">
        <v>77</v>
      </c>
    </row>
    <row r="59" spans="1:7">
      <c r="A59" s="7" t="s">
        <v>76</v>
      </c>
      <c r="B59" s="12">
        <f>30*57*F4*(F8-B56)/B51</f>
        <v>5661.7608402591886</v>
      </c>
      <c r="C59" s="7" t="s">
        <v>44</v>
      </c>
    </row>
    <row r="62" spans="1:7">
      <c r="A62" s="6"/>
    </row>
    <row r="66" spans="1:1">
      <c r="A66" s="6"/>
    </row>
  </sheetData>
  <pageMargins left="0.75" right="0.75" top="1" bottom="1" header="0.5" footer="0.5"/>
  <pageSetup paperSize="9" scale="7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6</vt:lpstr>
      <vt:lpstr>Question 7</vt:lpstr>
    </vt:vector>
  </TitlesOfParts>
  <Company>Massey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IFNHH</dc:creator>
  <cp:lastModifiedBy>meparker</cp:lastModifiedBy>
  <cp:lastPrinted>2008-10-23T22:49:55Z</cp:lastPrinted>
  <dcterms:created xsi:type="dcterms:W3CDTF">2003-01-23T01:00:23Z</dcterms:created>
  <dcterms:modified xsi:type="dcterms:W3CDTF">2014-06-09T01:43:05Z</dcterms:modified>
</cp:coreProperties>
</file>